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lld\Desktop\data analysis\Excel Skills for Business Forecasting\Course 1 - Excel Time Series Models for Business Forecasting\Exercises\Seasonal forecast\"/>
    </mc:Choice>
  </mc:AlternateContent>
  <xr:revisionPtr revIDLastSave="0" documentId="13_ncr:1_{C982DCE1-E7F6-4CDA-88BB-7B491CAD1744}" xr6:coauthVersionLast="47" xr6:coauthVersionMax="47" xr10:uidLastSave="{00000000-0000-0000-0000-000000000000}"/>
  <bookViews>
    <workbookView xWindow="-108" yWindow="-108" windowWidth="23256" windowHeight="12456" xr2:uid="{4DDE2ABF-5F19-4108-83F6-E210DF3C0777}"/>
  </bookViews>
  <sheets>
    <sheet name="Sales" sheetId="3" r:id="rId1"/>
    <sheet name="Holt’s Exponential Smoothing " sheetId="6" r:id="rId2"/>
  </sheets>
  <definedNames>
    <definedName name="solver_adj" localSheetId="1" hidden="1">'Holt’s Exponential Smoothing '!$J$1:$J$2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'Holt’s Exponential Smoothing '!$J$1</definedName>
    <definedName name="solver_lhs2" localSheetId="1" hidden="1">'Holt’s Exponential Smoothing '!$J$1</definedName>
    <definedName name="solver_lhs3" localSheetId="1" hidden="1">'Holt’s Exponential Smoothing '!$J$2</definedName>
    <definedName name="solver_lhs4" localSheetId="1" hidden="1">'Holt’s Exponential Smoothing '!$J$2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'Holt’s Exponential Smoothing '!$J$6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hs1" localSheetId="1" hidden="1">1</definedName>
    <definedName name="solver_rhs2" localSheetId="1" hidden="1">0</definedName>
    <definedName name="solver_rhs3" localSheetId="1" hidden="1">1</definedName>
    <definedName name="solver_rhs4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E2" i="6" l="1"/>
  <c r="D2" i="6"/>
  <c r="D3" i="6" s="1"/>
  <c r="E3" i="6" s="1"/>
  <c r="G4" i="6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2" i="3"/>
  <c r="G3" i="6" l="1"/>
  <c r="D4" i="6"/>
  <c r="E4" i="6" l="1"/>
  <c r="D5" i="6" s="1"/>
  <c r="E5" i="6" l="1"/>
  <c r="G6" i="6" s="1"/>
  <c r="G5" i="6"/>
  <c r="D6" i="6" l="1"/>
  <c r="E6" i="6" s="1"/>
  <c r="D7" i="6" s="1"/>
  <c r="E7" i="6" l="1"/>
  <c r="D8" i="6" s="1"/>
  <c r="G7" i="6"/>
  <c r="E8" i="6" l="1"/>
  <c r="G9" i="6" s="1"/>
  <c r="G8" i="6"/>
  <c r="D9" i="6" l="1"/>
  <c r="E9" i="6" s="1"/>
  <c r="G10" i="6" s="1"/>
  <c r="D10" i="6" l="1"/>
  <c r="E10" i="6" s="1"/>
  <c r="G11" i="6" s="1"/>
  <c r="D11" i="6" l="1"/>
  <c r="E11" i="6" l="1"/>
  <c r="D12" i="6" s="1"/>
  <c r="E12" i="6" l="1"/>
  <c r="G13" i="6" s="1"/>
  <c r="G12" i="6"/>
  <c r="D13" i="6" l="1"/>
  <c r="E13" i="6" s="1"/>
  <c r="G14" i="6" s="1"/>
  <c r="D14" i="6" l="1"/>
  <c r="E14" i="6" s="1"/>
  <c r="G15" i="6" s="1"/>
  <c r="D15" i="6" l="1"/>
  <c r="E15" i="6" s="1"/>
  <c r="D16" i="6" s="1"/>
  <c r="G16" i="6" l="1"/>
  <c r="E16" i="6"/>
  <c r="G17" i="6" s="1"/>
  <c r="D17" i="6" l="1"/>
  <c r="E17" i="6" s="1"/>
  <c r="G18" i="6" s="1"/>
  <c r="D18" i="6" l="1"/>
  <c r="E18" i="6" s="1"/>
  <c r="G19" i="6" s="1"/>
  <c r="D19" i="6" l="1"/>
  <c r="E19" i="6" s="1"/>
  <c r="D20" i="6" s="1"/>
  <c r="E20" i="6" l="1"/>
  <c r="G21" i="6" s="1"/>
  <c r="G20" i="6"/>
  <c r="D21" i="6" l="1"/>
  <c r="E21" i="6" s="1"/>
  <c r="G22" i="6" s="1"/>
  <c r="D22" i="6" l="1"/>
  <c r="E22" i="6" l="1"/>
  <c r="G23" i="6" s="1"/>
  <c r="D23" i="6" l="1"/>
  <c r="E23" i="6" s="1"/>
  <c r="D24" i="6" s="1"/>
  <c r="E24" i="6" l="1"/>
  <c r="G25" i="6" s="1"/>
  <c r="G24" i="6"/>
  <c r="D25" i="6" l="1"/>
  <c r="E25" i="6" s="1"/>
  <c r="G26" i="6" s="1"/>
  <c r="D26" i="6" l="1"/>
  <c r="E26" i="6" s="1"/>
  <c r="G27" i="6" s="1"/>
  <c r="D27" i="6" l="1"/>
  <c r="E27" i="6" s="1"/>
  <c r="D28" i="6" s="1"/>
  <c r="E28" i="6" s="1"/>
  <c r="G29" i="6" s="1"/>
  <c r="G28" i="6" l="1"/>
  <c r="D29" i="6"/>
  <c r="E29" i="6" l="1"/>
  <c r="D30" i="6" s="1"/>
  <c r="G30" i="6" l="1"/>
  <c r="E30" i="6"/>
  <c r="G31" i="6" s="1"/>
  <c r="D31" i="6" l="1"/>
  <c r="E31" i="6" s="1"/>
  <c r="D32" i="6" s="1"/>
  <c r="E32" i="6" l="1"/>
  <c r="G33" i="6" s="1"/>
  <c r="G32" i="6"/>
  <c r="D33" i="6" l="1"/>
  <c r="E33" i="6" s="1"/>
  <c r="G34" i="6" s="1"/>
  <c r="D34" i="6" l="1"/>
  <c r="E34" i="6" l="1"/>
  <c r="G35" i="6" s="1"/>
  <c r="D35" i="6" l="1"/>
  <c r="E35" i="6" s="1"/>
  <c r="D36" i="6" s="1"/>
  <c r="E36" i="6" s="1"/>
  <c r="G37" i="6" s="1"/>
  <c r="G36" i="6" l="1"/>
  <c r="D37" i="6"/>
  <c r="E37" i="6" s="1"/>
  <c r="G38" i="6" s="1"/>
  <c r="J6" i="6" l="1"/>
  <c r="D38" i="6"/>
  <c r="E38" i="6" s="1"/>
  <c r="F40" i="6" s="1"/>
  <c r="F39" i="6" l="1"/>
</calcChain>
</file>

<file path=xl/sharedStrings.xml><?xml version="1.0" encoding="utf-8"?>
<sst xmlns="http://schemas.openxmlformats.org/spreadsheetml/2006/main" count="15" uniqueCount="12">
  <si>
    <t>Quarter</t>
  </si>
  <si>
    <t>MSE</t>
  </si>
  <si>
    <t>Time (t)</t>
  </si>
  <si>
    <t>Sales  ($ millions)</t>
  </si>
  <si>
    <t>Level</t>
  </si>
  <si>
    <t>Trend</t>
  </si>
  <si>
    <t>Forecast</t>
  </si>
  <si>
    <t>Sales = 240.57Time + 14349</t>
  </si>
  <si>
    <t>Trend forecast</t>
  </si>
  <si>
    <t>Alpha</t>
  </si>
  <si>
    <t>Beta</t>
  </si>
  <si>
    <t>Squared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</si>
</sst>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4" fontId="0" fillId="0" borderId="0" xfId="0" applyNumberFormat="1" applyAlignment="1">
      <alignment horizontal="left"/>
    </xf>
    <xf numFmtId="165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2" fontId="0" fillId="0" borderId="0" xfId="0" applyNumberFormat="1"/>
    <xf numFmtId="0" fontId="0" fillId="2" borderId="0" xfId="0" applyFill="1"/>
    <xf numFmtId="2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Sales!$C$1</c:f>
              <c:strCache>
                <c:ptCount val="1"/>
                <c:pt idx="0">
                  <c:v>Sales  ($ millions)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1688966125328"/>
                  <c:y val="-3.43801382803803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Sales!$A$2:$A$39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Sales!$C$2:$C$40</c:f>
              <c:numCache>
                <c:formatCode>0.0</c:formatCode>
                <c:ptCount val="39"/>
                <c:pt idx="0">
                  <c:v>15627</c:v>
                </c:pt>
                <c:pt idx="1">
                  <c:v>14927</c:v>
                </c:pt>
                <c:pt idx="2">
                  <c:v>15407</c:v>
                </c:pt>
                <c:pt idx="3">
                  <c:v>15568</c:v>
                </c:pt>
                <c:pt idx="4">
                  <c:v>15655</c:v>
                </c:pt>
                <c:pt idx="5">
                  <c:v>16503</c:v>
                </c:pt>
                <c:pt idx="6">
                  <c:v>17041</c:v>
                </c:pt>
                <c:pt idx="7">
                  <c:v>16853</c:v>
                </c:pt>
                <c:pt idx="8">
                  <c:v>17374</c:v>
                </c:pt>
                <c:pt idx="9">
                  <c:v>17386</c:v>
                </c:pt>
                <c:pt idx="10">
                  <c:v>16220</c:v>
                </c:pt>
                <c:pt idx="11">
                  <c:v>16380</c:v>
                </c:pt>
                <c:pt idx="12">
                  <c:v>16578</c:v>
                </c:pt>
                <c:pt idx="13">
                  <c:v>16938</c:v>
                </c:pt>
                <c:pt idx="14">
                  <c:v>18047</c:v>
                </c:pt>
                <c:pt idx="15">
                  <c:v>17569</c:v>
                </c:pt>
                <c:pt idx="16">
                  <c:v>18533</c:v>
                </c:pt>
                <c:pt idx="17">
                  <c:v>17877</c:v>
                </c:pt>
                <c:pt idx="18">
                  <c:v>17404</c:v>
                </c:pt>
                <c:pt idx="19">
                  <c:v>17697</c:v>
                </c:pt>
                <c:pt idx="20">
                  <c:v>19301</c:v>
                </c:pt>
                <c:pt idx="21">
                  <c:v>19440</c:v>
                </c:pt>
                <c:pt idx="22">
                  <c:v>19490</c:v>
                </c:pt>
                <c:pt idx="23">
                  <c:v>19822</c:v>
                </c:pt>
                <c:pt idx="24">
                  <c:v>20291</c:v>
                </c:pt>
                <c:pt idx="25">
                  <c:v>19956</c:v>
                </c:pt>
                <c:pt idx="26">
                  <c:v>20658</c:v>
                </c:pt>
                <c:pt idx="27">
                  <c:v>21914</c:v>
                </c:pt>
                <c:pt idx="28">
                  <c:v>21550</c:v>
                </c:pt>
                <c:pt idx="29">
                  <c:v>20840</c:v>
                </c:pt>
                <c:pt idx="30">
                  <c:v>21739</c:v>
                </c:pt>
                <c:pt idx="31">
                  <c:v>21998</c:v>
                </c:pt>
                <c:pt idx="32">
                  <c:v>21870</c:v>
                </c:pt>
                <c:pt idx="33">
                  <c:v>23310</c:v>
                </c:pt>
                <c:pt idx="34">
                  <c:v>23953</c:v>
                </c:pt>
                <c:pt idx="35">
                  <c:v>23787</c:v>
                </c:pt>
                <c:pt idx="36">
                  <c:v>24520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D-4121-A910-040FA646AFA6}"/>
            </c:ext>
          </c:extLst>
        </c:ser>
        <c:ser>
          <c:idx val="0"/>
          <c:order val="1"/>
          <c:tx>
            <c:strRef>
              <c:f>Sales!$D$1</c:f>
              <c:strCache>
                <c:ptCount val="1"/>
                <c:pt idx="0">
                  <c:v>Trend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Sales!$D$2:$D$39</c:f>
              <c:numCache>
                <c:formatCode>General</c:formatCode>
                <c:ptCount val="38"/>
                <c:pt idx="0">
                  <c:v>14589.57</c:v>
                </c:pt>
                <c:pt idx="1">
                  <c:v>14830.14</c:v>
                </c:pt>
                <c:pt idx="2">
                  <c:v>15070.71</c:v>
                </c:pt>
                <c:pt idx="3">
                  <c:v>15311.28</c:v>
                </c:pt>
                <c:pt idx="4">
                  <c:v>15551.85</c:v>
                </c:pt>
                <c:pt idx="5">
                  <c:v>15792.42</c:v>
                </c:pt>
                <c:pt idx="6">
                  <c:v>16032.99</c:v>
                </c:pt>
                <c:pt idx="7">
                  <c:v>16273.56</c:v>
                </c:pt>
                <c:pt idx="8">
                  <c:v>16514.13</c:v>
                </c:pt>
                <c:pt idx="9">
                  <c:v>16754.7</c:v>
                </c:pt>
                <c:pt idx="10">
                  <c:v>16995.27</c:v>
                </c:pt>
                <c:pt idx="11">
                  <c:v>17235.84</c:v>
                </c:pt>
                <c:pt idx="12">
                  <c:v>17476.41</c:v>
                </c:pt>
                <c:pt idx="13">
                  <c:v>17716.98</c:v>
                </c:pt>
                <c:pt idx="14">
                  <c:v>17957.55</c:v>
                </c:pt>
                <c:pt idx="15">
                  <c:v>18198.12</c:v>
                </c:pt>
                <c:pt idx="16">
                  <c:v>18438.689999999999</c:v>
                </c:pt>
                <c:pt idx="17">
                  <c:v>18679.260000000002</c:v>
                </c:pt>
                <c:pt idx="18">
                  <c:v>18919.830000000002</c:v>
                </c:pt>
                <c:pt idx="19">
                  <c:v>19160.400000000001</c:v>
                </c:pt>
                <c:pt idx="20">
                  <c:v>19400.97</c:v>
                </c:pt>
                <c:pt idx="21">
                  <c:v>19641.54</c:v>
                </c:pt>
                <c:pt idx="22">
                  <c:v>19882.11</c:v>
                </c:pt>
                <c:pt idx="23">
                  <c:v>20122.68</c:v>
                </c:pt>
                <c:pt idx="24">
                  <c:v>20363.25</c:v>
                </c:pt>
                <c:pt idx="25">
                  <c:v>20603.82</c:v>
                </c:pt>
                <c:pt idx="26">
                  <c:v>20844.39</c:v>
                </c:pt>
                <c:pt idx="27">
                  <c:v>21084.959999999999</c:v>
                </c:pt>
                <c:pt idx="28">
                  <c:v>21325.53</c:v>
                </c:pt>
                <c:pt idx="29">
                  <c:v>21566.1</c:v>
                </c:pt>
                <c:pt idx="30">
                  <c:v>21806.67</c:v>
                </c:pt>
                <c:pt idx="31">
                  <c:v>22047.239999999998</c:v>
                </c:pt>
                <c:pt idx="32">
                  <c:v>22287.809999999998</c:v>
                </c:pt>
                <c:pt idx="33">
                  <c:v>22528.38</c:v>
                </c:pt>
                <c:pt idx="34">
                  <c:v>22768.949999999997</c:v>
                </c:pt>
                <c:pt idx="35">
                  <c:v>23009.52</c:v>
                </c:pt>
                <c:pt idx="36">
                  <c:v>23250.09</c:v>
                </c:pt>
                <c:pt idx="37">
                  <c:v>23490.66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6D-4121-A910-040FA646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943136"/>
        <c:axId val="646952136"/>
      </c:lineChart>
      <c:catAx>
        <c:axId val="6469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52136"/>
        <c:crosses val="autoZero"/>
        <c:auto val="1"/>
        <c:lblAlgn val="ctr"/>
        <c:lblOffset val="100"/>
        <c:noMultiLvlLbl val="0"/>
      </c:catAx>
      <c:valAx>
        <c:axId val="646952136"/>
        <c:scaling>
          <c:orientation val="minMax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4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Sales!$C$1</c:f>
              <c:strCache>
                <c:ptCount val="1"/>
                <c:pt idx="0">
                  <c:v>Sales  ($ millions)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Sales!$B$2:$B$38</c:f>
              <c:numCache>
                <c:formatCode>mmm\-yyyy</c:formatCode>
                <c:ptCount val="37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</c:numCache>
            </c:numRef>
          </c:cat>
          <c:val>
            <c:numRef>
              <c:f>Sales!$C$2:$C$38</c:f>
              <c:numCache>
                <c:formatCode>0.0</c:formatCode>
                <c:ptCount val="37"/>
                <c:pt idx="0">
                  <c:v>15627</c:v>
                </c:pt>
                <c:pt idx="1">
                  <c:v>14927</c:v>
                </c:pt>
                <c:pt idx="2">
                  <c:v>15407</c:v>
                </c:pt>
                <c:pt idx="3">
                  <c:v>15568</c:v>
                </c:pt>
                <c:pt idx="4">
                  <c:v>15655</c:v>
                </c:pt>
                <c:pt idx="5">
                  <c:v>16503</c:v>
                </c:pt>
                <c:pt idx="6">
                  <c:v>17041</c:v>
                </c:pt>
                <c:pt idx="7">
                  <c:v>16853</c:v>
                </c:pt>
                <c:pt idx="8">
                  <c:v>17374</c:v>
                </c:pt>
                <c:pt idx="9">
                  <c:v>17386</c:v>
                </c:pt>
                <c:pt idx="10">
                  <c:v>16220</c:v>
                </c:pt>
                <c:pt idx="11">
                  <c:v>16380</c:v>
                </c:pt>
                <c:pt idx="12">
                  <c:v>16578</c:v>
                </c:pt>
                <c:pt idx="13">
                  <c:v>16938</c:v>
                </c:pt>
                <c:pt idx="14">
                  <c:v>18047</c:v>
                </c:pt>
                <c:pt idx="15">
                  <c:v>17569</c:v>
                </c:pt>
                <c:pt idx="16">
                  <c:v>18533</c:v>
                </c:pt>
                <c:pt idx="17">
                  <c:v>17877</c:v>
                </c:pt>
                <c:pt idx="18">
                  <c:v>17404</c:v>
                </c:pt>
                <c:pt idx="19">
                  <c:v>17697</c:v>
                </c:pt>
                <c:pt idx="20">
                  <c:v>19301</c:v>
                </c:pt>
                <c:pt idx="21">
                  <c:v>19440</c:v>
                </c:pt>
                <c:pt idx="22">
                  <c:v>19490</c:v>
                </c:pt>
                <c:pt idx="23">
                  <c:v>19822</c:v>
                </c:pt>
                <c:pt idx="24">
                  <c:v>20291</c:v>
                </c:pt>
                <c:pt idx="25">
                  <c:v>19956</c:v>
                </c:pt>
                <c:pt idx="26">
                  <c:v>20658</c:v>
                </c:pt>
                <c:pt idx="27">
                  <c:v>21914</c:v>
                </c:pt>
                <c:pt idx="28">
                  <c:v>21550</c:v>
                </c:pt>
                <c:pt idx="29">
                  <c:v>20840</c:v>
                </c:pt>
                <c:pt idx="30">
                  <c:v>21739</c:v>
                </c:pt>
                <c:pt idx="31">
                  <c:v>21998</c:v>
                </c:pt>
                <c:pt idx="32">
                  <c:v>21870</c:v>
                </c:pt>
                <c:pt idx="33">
                  <c:v>23310</c:v>
                </c:pt>
                <c:pt idx="34">
                  <c:v>23953</c:v>
                </c:pt>
                <c:pt idx="35">
                  <c:v>23787</c:v>
                </c:pt>
                <c:pt idx="36">
                  <c:v>24520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C-4319-B18D-BA347F6D8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5228039"/>
        <c:axId val="345228759"/>
      </c:lineChart>
      <c:dateAx>
        <c:axId val="345228039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8759"/>
        <c:crosses val="autoZero"/>
        <c:auto val="1"/>
        <c:lblOffset val="100"/>
        <c:baseTimeUnit val="months"/>
      </c:dateAx>
      <c:valAx>
        <c:axId val="345228759"/>
        <c:scaling>
          <c:orientation val="minMax"/>
          <c:min val="120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803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 ($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'Holt’s Exponential Smoothing '!$C$1</c:f>
              <c:strCache>
                <c:ptCount val="1"/>
                <c:pt idx="0">
                  <c:v>Sales  ($ millions)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'Holt’s Exponential Smoothing '!$B$2:$B$40</c:f>
              <c:numCache>
                <c:formatCode>mmm\-yyyy</c:formatCode>
                <c:ptCount val="3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</c:numCache>
            </c:numRef>
          </c:cat>
          <c:val>
            <c:numRef>
              <c:f>'Holt’s Exponential Smoothing '!$C$2:$C$40</c:f>
              <c:numCache>
                <c:formatCode>0.0</c:formatCode>
                <c:ptCount val="39"/>
                <c:pt idx="0">
                  <c:v>15627</c:v>
                </c:pt>
                <c:pt idx="1">
                  <c:v>14927</c:v>
                </c:pt>
                <c:pt idx="2">
                  <c:v>15407</c:v>
                </c:pt>
                <c:pt idx="3">
                  <c:v>15568</c:v>
                </c:pt>
                <c:pt idx="4">
                  <c:v>15655</c:v>
                </c:pt>
                <c:pt idx="5">
                  <c:v>16503</c:v>
                </c:pt>
                <c:pt idx="6">
                  <c:v>17041</c:v>
                </c:pt>
                <c:pt idx="7">
                  <c:v>16853</c:v>
                </c:pt>
                <c:pt idx="8">
                  <c:v>17374</c:v>
                </c:pt>
                <c:pt idx="9">
                  <c:v>17386</c:v>
                </c:pt>
                <c:pt idx="10">
                  <c:v>16220</c:v>
                </c:pt>
                <c:pt idx="11">
                  <c:v>16380</c:v>
                </c:pt>
                <c:pt idx="12">
                  <c:v>16578</c:v>
                </c:pt>
                <c:pt idx="13">
                  <c:v>16938</c:v>
                </c:pt>
                <c:pt idx="14">
                  <c:v>18047</c:v>
                </c:pt>
                <c:pt idx="15">
                  <c:v>17569</c:v>
                </c:pt>
                <c:pt idx="16">
                  <c:v>18533</c:v>
                </c:pt>
                <c:pt idx="17">
                  <c:v>17877</c:v>
                </c:pt>
                <c:pt idx="18">
                  <c:v>17404</c:v>
                </c:pt>
                <c:pt idx="19">
                  <c:v>17697</c:v>
                </c:pt>
                <c:pt idx="20">
                  <c:v>19301</c:v>
                </c:pt>
                <c:pt idx="21">
                  <c:v>19440</c:v>
                </c:pt>
                <c:pt idx="22">
                  <c:v>19490</c:v>
                </c:pt>
                <c:pt idx="23">
                  <c:v>19822</c:v>
                </c:pt>
                <c:pt idx="24">
                  <c:v>20291</c:v>
                </c:pt>
                <c:pt idx="25">
                  <c:v>19956</c:v>
                </c:pt>
                <c:pt idx="26">
                  <c:v>20658</c:v>
                </c:pt>
                <c:pt idx="27">
                  <c:v>21914</c:v>
                </c:pt>
                <c:pt idx="28">
                  <c:v>21550</c:v>
                </c:pt>
                <c:pt idx="29">
                  <c:v>20840</c:v>
                </c:pt>
                <c:pt idx="30">
                  <c:v>21739</c:v>
                </c:pt>
                <c:pt idx="31">
                  <c:v>21998</c:v>
                </c:pt>
                <c:pt idx="32">
                  <c:v>21870</c:v>
                </c:pt>
                <c:pt idx="33">
                  <c:v>23310</c:v>
                </c:pt>
                <c:pt idx="34">
                  <c:v>23953</c:v>
                </c:pt>
                <c:pt idx="35">
                  <c:v>23787</c:v>
                </c:pt>
                <c:pt idx="36">
                  <c:v>24520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0-44BC-A65C-B386BC31BF0F}"/>
            </c:ext>
          </c:extLst>
        </c:ser>
        <c:ser>
          <c:idx val="1"/>
          <c:order val="1"/>
          <c:tx>
            <c:strRef>
              <c:f>'Holt’s Exponential Smoothing '!$F$1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'Holt’s Exponential Smoothing '!$B$2:$B$40</c:f>
              <c:numCache>
                <c:formatCode>mmm\-yyyy</c:formatCode>
                <c:ptCount val="3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</c:numCache>
            </c:numRef>
          </c:cat>
          <c:val>
            <c:numRef>
              <c:f>('Holt’s Exponential Smoothing '!$F$2:$F$40,'Holt’s Exponential Smoothing '!$F:$F)</c:f>
              <c:numCache>
                <c:formatCode>0.0</c:formatCode>
                <c:ptCount val="1048615"/>
                <c:pt idx="1">
                  <c:v>14927</c:v>
                </c:pt>
                <c:pt idx="2" formatCode="General">
                  <c:v>14227</c:v>
                </c:pt>
                <c:pt idx="3" formatCode="General">
                  <c:v>14861.30326937845</c:v>
                </c:pt>
                <c:pt idx="4" formatCode="General">
                  <c:v>15168.639373379432</c:v>
                </c:pt>
                <c:pt idx="5" formatCode="General">
                  <c:v>15351.53373658831</c:v>
                </c:pt>
                <c:pt idx="6" formatCode="General">
                  <c:v>16372.331867315652</c:v>
                </c:pt>
                <c:pt idx="7" formatCode="General">
                  <c:v>17050.391186294943</c:v>
                </c:pt>
                <c:pt idx="8" formatCode="General">
                  <c:v>16867.13655308136</c:v>
                </c:pt>
                <c:pt idx="9" formatCode="General">
                  <c:v>17445.396259121735</c:v>
                </c:pt>
                <c:pt idx="10" formatCode="General">
                  <c:v>17472.792321774137</c:v>
                </c:pt>
                <c:pt idx="11" formatCode="General">
                  <c:v>16140.255992503709</c:v>
                </c:pt>
                <c:pt idx="12" formatCode="General">
                  <c:v>16274.355147719547</c:v>
                </c:pt>
                <c:pt idx="13" formatCode="General">
                  <c:v>16523.017422938134</c:v>
                </c:pt>
                <c:pt idx="14" formatCode="General">
                  <c:v>16951.159020358853</c:v>
                </c:pt>
                <c:pt idx="15" formatCode="General">
                  <c:v>18222.421393950131</c:v>
                </c:pt>
                <c:pt idx="16" formatCode="General">
                  <c:v>17709.055030215597</c:v>
                </c:pt>
                <c:pt idx="17" formatCode="General">
                  <c:v>18750.93802867335</c:v>
                </c:pt>
                <c:pt idx="18" formatCode="General">
                  <c:v>18018.310383792075</c:v>
                </c:pt>
                <c:pt idx="19" formatCode="General">
                  <c:v>17425.041884906012</c:v>
                </c:pt>
                <c:pt idx="20" formatCode="General">
                  <c:v>17725.531381565233</c:v>
                </c:pt>
                <c:pt idx="21" formatCode="General">
                  <c:v>19547.976450792827</c:v>
                </c:pt>
                <c:pt idx="22" formatCode="General">
                  <c:v>19744.853858066839</c:v>
                </c:pt>
                <c:pt idx="23" formatCode="General">
                  <c:v>19756.593377850604</c:v>
                </c:pt>
                <c:pt idx="24" formatCode="General">
                  <c:v>20085.499794965821</c:v>
                </c:pt>
                <c:pt idx="25" formatCode="General">
                  <c:v>20584.36113152832</c:v>
                </c:pt>
                <c:pt idx="26" formatCode="General">
                  <c:v>20176.584294429551</c:v>
                </c:pt>
                <c:pt idx="27" formatCode="General">
                  <c:v>20912.821511891078</c:v>
                </c:pt>
                <c:pt idx="28" formatCode="General">
                  <c:v>22321.741212284913</c:v>
                </c:pt>
                <c:pt idx="29" formatCode="General">
                  <c:v>21902.576739668006</c:v>
                </c:pt>
                <c:pt idx="30" formatCode="General">
                  <c:v>21018.360744685731</c:v>
                </c:pt>
                <c:pt idx="31" formatCode="General">
                  <c:v>21963.037019810508</c:v>
                </c:pt>
                <c:pt idx="32" formatCode="General">
                  <c:v>22259.541308396783</c:v>
                </c:pt>
                <c:pt idx="33" formatCode="General">
                  <c:v>22082.200516918016</c:v>
                </c:pt>
                <c:pt idx="34" formatCode="General">
                  <c:v>23664.952744686583</c:v>
                </c:pt>
                <c:pt idx="35" formatCode="General">
                  <c:v>24401.728326289176</c:v>
                </c:pt>
                <c:pt idx="36" formatCode="General">
                  <c:v>24168.506489359428</c:v>
                </c:pt>
                <c:pt idx="37" formatCode="General">
                  <c:v>24919.377370931175</c:v>
                </c:pt>
                <c:pt idx="38" formatCode="General">
                  <c:v>25334.817567853635</c:v>
                </c:pt>
                <c:pt idx="39" formatCode="General">
                  <c:v>0</c:v>
                </c:pt>
                <c:pt idx="41">
                  <c:v>14927</c:v>
                </c:pt>
                <c:pt idx="42" formatCode="General">
                  <c:v>14227</c:v>
                </c:pt>
                <c:pt idx="43" formatCode="General">
                  <c:v>14861.30326937845</c:v>
                </c:pt>
                <c:pt idx="44" formatCode="General">
                  <c:v>15168.639373379432</c:v>
                </c:pt>
                <c:pt idx="45" formatCode="General">
                  <c:v>15351.53373658831</c:v>
                </c:pt>
                <c:pt idx="46" formatCode="General">
                  <c:v>16372.331867315652</c:v>
                </c:pt>
                <c:pt idx="47" formatCode="General">
                  <c:v>17050.391186294943</c:v>
                </c:pt>
                <c:pt idx="48" formatCode="General">
                  <c:v>16867.13655308136</c:v>
                </c:pt>
                <c:pt idx="49" formatCode="General">
                  <c:v>17445.396259121735</c:v>
                </c:pt>
                <c:pt idx="50" formatCode="General">
                  <c:v>17472.792321774137</c:v>
                </c:pt>
                <c:pt idx="51" formatCode="General">
                  <c:v>16140.255992503709</c:v>
                </c:pt>
                <c:pt idx="52" formatCode="General">
                  <c:v>16274.355147719547</c:v>
                </c:pt>
                <c:pt idx="53" formatCode="General">
                  <c:v>16523.017422938134</c:v>
                </c:pt>
                <c:pt idx="54" formatCode="General">
                  <c:v>16951.159020358853</c:v>
                </c:pt>
                <c:pt idx="55" formatCode="General">
                  <c:v>18222.421393950131</c:v>
                </c:pt>
                <c:pt idx="56" formatCode="General">
                  <c:v>17709.055030215597</c:v>
                </c:pt>
                <c:pt idx="57" formatCode="General">
                  <c:v>18750.93802867335</c:v>
                </c:pt>
                <c:pt idx="58" formatCode="General">
                  <c:v>18018.310383792075</c:v>
                </c:pt>
                <c:pt idx="59" formatCode="General">
                  <c:v>17425.041884906012</c:v>
                </c:pt>
                <c:pt idx="60" formatCode="General">
                  <c:v>17725.531381565233</c:v>
                </c:pt>
                <c:pt idx="61" formatCode="General">
                  <c:v>19547.976450792827</c:v>
                </c:pt>
                <c:pt idx="62" formatCode="General">
                  <c:v>19744.853858066839</c:v>
                </c:pt>
                <c:pt idx="63" formatCode="General">
                  <c:v>19756.593377850604</c:v>
                </c:pt>
                <c:pt idx="64" formatCode="General">
                  <c:v>20085.499794965821</c:v>
                </c:pt>
                <c:pt idx="65" formatCode="General">
                  <c:v>20584.36113152832</c:v>
                </c:pt>
                <c:pt idx="66" formatCode="General">
                  <c:v>20176.584294429551</c:v>
                </c:pt>
                <c:pt idx="67" formatCode="General">
                  <c:v>20912.821511891078</c:v>
                </c:pt>
                <c:pt idx="68" formatCode="General">
                  <c:v>22321.741212284913</c:v>
                </c:pt>
                <c:pt idx="69" formatCode="General">
                  <c:v>21902.576739668006</c:v>
                </c:pt>
                <c:pt idx="70" formatCode="General">
                  <c:v>21018.360744685731</c:v>
                </c:pt>
                <c:pt idx="71" formatCode="General">
                  <c:v>21963.037019810508</c:v>
                </c:pt>
                <c:pt idx="72" formatCode="General">
                  <c:v>22259.541308396783</c:v>
                </c:pt>
                <c:pt idx="73" formatCode="General">
                  <c:v>22082.200516918016</c:v>
                </c:pt>
                <c:pt idx="74" formatCode="General">
                  <c:v>23664.952744686583</c:v>
                </c:pt>
                <c:pt idx="75" formatCode="General">
                  <c:v>24401.728326289176</c:v>
                </c:pt>
                <c:pt idx="76" formatCode="General">
                  <c:v>24168.506489359428</c:v>
                </c:pt>
                <c:pt idx="77" formatCode="General">
                  <c:v>24919.377370931175</c:v>
                </c:pt>
                <c:pt idx="78" formatCode="General">
                  <c:v>25334.817567853635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0-44BC-A65C-B386BC31B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1556480"/>
        <c:axId val="341557200"/>
      </c:lineChart>
      <c:dateAx>
        <c:axId val="341556480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57200"/>
        <c:crosses val="autoZero"/>
        <c:auto val="1"/>
        <c:lblOffset val="100"/>
        <c:baseTimeUnit val="months"/>
      </c:dateAx>
      <c:valAx>
        <c:axId val="341557200"/>
        <c:scaling>
          <c:orientation val="minMax"/>
          <c:min val="120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564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502350</xdr:colOff>
      <xdr:row>1</xdr:row>
      <xdr:rowOff>174464</xdr:rowOff>
    </xdr:from>
    <xdr:to>
      <xdr:col>22</xdr:col>
      <xdr:colOff>170596</xdr:colOff>
      <xdr:row>30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0C2D6-DB0A-BBEF-FBEE-EAE31E56E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39805</xdr:colOff>
      <xdr:row>31</xdr:row>
      <xdr:rowOff>78474</xdr:rowOff>
    </xdr:from>
    <xdr:to>
      <xdr:col>22</xdr:col>
      <xdr:colOff>102358</xdr:colOff>
      <xdr:row>58</xdr:row>
      <xdr:rowOff>68239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E7EF2-21F4-0C8F-F93A-8436D66F0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591403</xdr:colOff>
      <xdr:row>0</xdr:row>
      <xdr:rowOff>352567</xdr:rowOff>
    </xdr:from>
    <xdr:to>
      <xdr:col>15</xdr:col>
      <xdr:colOff>492457</xdr:colOff>
      <xdr:row>13</xdr:row>
      <xdr:rowOff>85905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39968-9AF8-4213-9290-6347E75A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567" y="352567"/>
          <a:ext cx="2971800" cy="2280920"/>
        </a:xfrm>
        <a:prstGeom prst="rect">
          <a:avLst/>
        </a:prstGeom>
      </xdr:spPr>
    </xdr:pic>
    <xdr:clientData/>
  </xdr:twoCellAnchor>
  <xdr:twoCellAnchor>
    <xdr:from>
      <xdr:col>9</xdr:col>
      <xdr:colOff>324132</xdr:colOff>
      <xdr:row>14</xdr:row>
      <xdr:rowOff>112593</xdr:rowOff>
    </xdr:from>
    <xdr:to>
      <xdr:col>24</xdr:col>
      <xdr:colOff>389860</xdr:colOff>
      <xdr:row>38</xdr:row>
      <xdr:rowOff>17721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AAAE0-9B2E-3122-1D6D-7569A6780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327D-08A4-4E75-B6B3-CF66015F9499}">
  <dimension ref="A1:H39"/>
  <sheetViews>
    <sheetView tabSelected="1" zoomScale="67" workbookViewId="0">
      <selection activeCell="F30" sqref="F30"/>
    </sheetView>
  </sheetViews>
  <sheetFormatPr defaultRowHeight="14.4" x14ac:dyDescent="0.3"/>
  <cols>
    <col min="1" max="1" width="8.77734375"/>
    <col min="2" max="2" width="9.21875" bestFit="1" customWidth="1"/>
    <col min="3" max="3" width="14.88671875" style="1" bestFit="1" customWidth="1"/>
    <col min="4" max="4" width="13.5546875" bestFit="1" customWidth="1"/>
  </cols>
  <sheetData>
    <row r="1" spans="1:8" ht="28.8" x14ac:dyDescent="0.3">
      <c r="A1" s="4" t="s">
        <v>2</v>
      </c>
      <c r="B1" s="4" t="s">
        <v>0</v>
      </c>
      <c r="C1" s="3" t="s">
        <v>3</v>
      </c>
      <c r="D1" t="s">
        <v>8</v>
      </c>
      <c r="H1" t="s">
        <v>7</v>
      </c>
    </row>
    <row r="2" spans="1:8" x14ac:dyDescent="0.3">
      <c r="A2">
        <v>1</v>
      </c>
      <c r="B2" s="2">
        <v>41061</v>
      </c>
      <c r="C2" s="1">
        <v>15627</v>
      </c>
      <c r="D2">
        <f>(240.57*A2)+14349</f>
        <v>14589.57</v>
      </c>
    </row>
    <row r="3" spans="1:8" x14ac:dyDescent="0.3">
      <c r="A3">
        <v>2</v>
      </c>
      <c r="B3" s="2">
        <v>41153</v>
      </c>
      <c r="C3" s="1">
        <v>14927</v>
      </c>
      <c r="D3">
        <f t="shared" ref="D3:D39" si="0">(240.57*A3)+14349</f>
        <v>14830.14</v>
      </c>
    </row>
    <row r="4" spans="1:8" x14ac:dyDescent="0.3">
      <c r="A4">
        <v>3</v>
      </c>
      <c r="B4" s="2">
        <v>41244</v>
      </c>
      <c r="C4" s="1">
        <v>15407</v>
      </c>
      <c r="D4">
        <f t="shared" si="0"/>
        <v>15070.71</v>
      </c>
    </row>
    <row r="5" spans="1:8" x14ac:dyDescent="0.3">
      <c r="A5">
        <v>4</v>
      </c>
      <c r="B5" s="2">
        <v>41334</v>
      </c>
      <c r="C5" s="1">
        <v>15568</v>
      </c>
      <c r="D5">
        <f t="shared" si="0"/>
        <v>15311.28</v>
      </c>
    </row>
    <row r="6" spans="1:8" x14ac:dyDescent="0.3">
      <c r="A6">
        <v>5</v>
      </c>
      <c r="B6" s="2">
        <v>41426</v>
      </c>
      <c r="C6" s="1">
        <v>15655</v>
      </c>
      <c r="D6">
        <f t="shared" si="0"/>
        <v>15551.85</v>
      </c>
    </row>
    <row r="7" spans="1:8" x14ac:dyDescent="0.3">
      <c r="A7">
        <v>6</v>
      </c>
      <c r="B7" s="2">
        <v>41518</v>
      </c>
      <c r="C7" s="1">
        <v>16503</v>
      </c>
      <c r="D7">
        <f t="shared" si="0"/>
        <v>15792.42</v>
      </c>
    </row>
    <row r="8" spans="1:8" x14ac:dyDescent="0.3">
      <c r="A8">
        <v>7</v>
      </c>
      <c r="B8" s="2">
        <v>41609</v>
      </c>
      <c r="C8" s="1">
        <v>17041</v>
      </c>
      <c r="D8">
        <f t="shared" si="0"/>
        <v>16032.99</v>
      </c>
    </row>
    <row r="9" spans="1:8" x14ac:dyDescent="0.3">
      <c r="A9">
        <v>8</v>
      </c>
      <c r="B9" s="2">
        <v>41699</v>
      </c>
      <c r="C9" s="1">
        <v>16853</v>
      </c>
      <c r="D9">
        <f t="shared" si="0"/>
        <v>16273.56</v>
      </c>
    </row>
    <row r="10" spans="1:8" x14ac:dyDescent="0.3">
      <c r="A10">
        <v>9</v>
      </c>
      <c r="B10" s="2">
        <v>41791</v>
      </c>
      <c r="C10" s="1">
        <v>17374</v>
      </c>
      <c r="D10">
        <f t="shared" si="0"/>
        <v>16514.13</v>
      </c>
    </row>
    <row r="11" spans="1:8" x14ac:dyDescent="0.3">
      <c r="A11">
        <v>10</v>
      </c>
      <c r="B11" s="2">
        <v>41883</v>
      </c>
      <c r="C11" s="1">
        <v>17386</v>
      </c>
      <c r="D11">
        <f t="shared" si="0"/>
        <v>16754.7</v>
      </c>
    </row>
    <row r="12" spans="1:8" x14ac:dyDescent="0.3">
      <c r="A12">
        <v>11</v>
      </c>
      <c r="B12" s="2">
        <v>41974</v>
      </c>
      <c r="C12" s="1">
        <v>16220</v>
      </c>
      <c r="D12">
        <f t="shared" si="0"/>
        <v>16995.27</v>
      </c>
    </row>
    <row r="13" spans="1:8" x14ac:dyDescent="0.3">
      <c r="A13">
        <v>12</v>
      </c>
      <c r="B13" s="2">
        <v>42064</v>
      </c>
      <c r="C13" s="1">
        <v>16380</v>
      </c>
      <c r="D13">
        <f t="shared" si="0"/>
        <v>17235.84</v>
      </c>
    </row>
    <row r="14" spans="1:8" x14ac:dyDescent="0.3">
      <c r="A14">
        <v>13</v>
      </c>
      <c r="B14" s="2">
        <v>42156</v>
      </c>
      <c r="C14" s="1">
        <v>16578</v>
      </c>
      <c r="D14">
        <f t="shared" si="0"/>
        <v>17476.41</v>
      </c>
    </row>
    <row r="15" spans="1:8" x14ac:dyDescent="0.3">
      <c r="A15">
        <v>14</v>
      </c>
      <c r="B15" s="2">
        <v>42248</v>
      </c>
      <c r="C15" s="1">
        <v>16938</v>
      </c>
      <c r="D15">
        <f t="shared" si="0"/>
        <v>17716.98</v>
      </c>
    </row>
    <row r="16" spans="1:8" x14ac:dyDescent="0.3">
      <c r="A16">
        <v>15</v>
      </c>
      <c r="B16" s="2">
        <v>42339</v>
      </c>
      <c r="C16" s="1">
        <v>18047</v>
      </c>
      <c r="D16">
        <f t="shared" si="0"/>
        <v>17957.55</v>
      </c>
    </row>
    <row r="17" spans="1:4" x14ac:dyDescent="0.3">
      <c r="A17">
        <v>16</v>
      </c>
      <c r="B17" s="2">
        <v>42430</v>
      </c>
      <c r="C17" s="1">
        <v>17569</v>
      </c>
      <c r="D17">
        <f t="shared" si="0"/>
        <v>18198.12</v>
      </c>
    </row>
    <row r="18" spans="1:4" x14ac:dyDescent="0.3">
      <c r="A18">
        <v>17</v>
      </c>
      <c r="B18" s="2">
        <v>42522</v>
      </c>
      <c r="C18" s="1">
        <v>18533</v>
      </c>
      <c r="D18">
        <f t="shared" si="0"/>
        <v>18438.689999999999</v>
      </c>
    </row>
    <row r="19" spans="1:4" x14ac:dyDescent="0.3">
      <c r="A19">
        <v>18</v>
      </c>
      <c r="B19" s="2">
        <v>42614</v>
      </c>
      <c r="C19" s="1">
        <v>17877</v>
      </c>
      <c r="D19">
        <f t="shared" si="0"/>
        <v>18679.260000000002</v>
      </c>
    </row>
    <row r="20" spans="1:4" x14ac:dyDescent="0.3">
      <c r="A20">
        <v>19</v>
      </c>
      <c r="B20" s="2">
        <v>42705</v>
      </c>
      <c r="C20" s="1">
        <v>17404</v>
      </c>
      <c r="D20">
        <f t="shared" si="0"/>
        <v>18919.830000000002</v>
      </c>
    </row>
    <row r="21" spans="1:4" x14ac:dyDescent="0.3">
      <c r="A21">
        <v>20</v>
      </c>
      <c r="B21" s="2">
        <v>42795</v>
      </c>
      <c r="C21" s="1">
        <v>17697</v>
      </c>
      <c r="D21">
        <f t="shared" si="0"/>
        <v>19160.400000000001</v>
      </c>
    </row>
    <row r="22" spans="1:4" x14ac:dyDescent="0.3">
      <c r="A22">
        <v>21</v>
      </c>
      <c r="B22" s="2">
        <v>42887</v>
      </c>
      <c r="C22" s="1">
        <v>19301</v>
      </c>
      <c r="D22">
        <f t="shared" si="0"/>
        <v>19400.97</v>
      </c>
    </row>
    <row r="23" spans="1:4" x14ac:dyDescent="0.3">
      <c r="A23">
        <v>22</v>
      </c>
      <c r="B23" s="2">
        <v>42979</v>
      </c>
      <c r="C23" s="1">
        <v>19440</v>
      </c>
      <c r="D23">
        <f t="shared" si="0"/>
        <v>19641.54</v>
      </c>
    </row>
    <row r="24" spans="1:4" x14ac:dyDescent="0.3">
      <c r="A24">
        <v>23</v>
      </c>
      <c r="B24" s="2">
        <v>43070</v>
      </c>
      <c r="C24" s="1">
        <v>19490</v>
      </c>
      <c r="D24">
        <f t="shared" si="0"/>
        <v>19882.11</v>
      </c>
    </row>
    <row r="25" spans="1:4" x14ac:dyDescent="0.3">
      <c r="A25">
        <v>24</v>
      </c>
      <c r="B25" s="2">
        <v>43160</v>
      </c>
      <c r="C25" s="1">
        <v>19822</v>
      </c>
      <c r="D25">
        <f t="shared" si="0"/>
        <v>20122.68</v>
      </c>
    </row>
    <row r="26" spans="1:4" x14ac:dyDescent="0.3">
      <c r="A26">
        <v>25</v>
      </c>
      <c r="B26" s="2">
        <v>43252</v>
      </c>
      <c r="C26" s="1">
        <v>20291</v>
      </c>
      <c r="D26">
        <f t="shared" si="0"/>
        <v>20363.25</v>
      </c>
    </row>
    <row r="27" spans="1:4" x14ac:dyDescent="0.3">
      <c r="A27">
        <v>26</v>
      </c>
      <c r="B27" s="2">
        <v>43344</v>
      </c>
      <c r="C27" s="1">
        <v>19956</v>
      </c>
      <c r="D27">
        <f t="shared" si="0"/>
        <v>20603.82</v>
      </c>
    </row>
    <row r="28" spans="1:4" x14ac:dyDescent="0.3">
      <c r="A28">
        <v>27</v>
      </c>
      <c r="B28" s="2">
        <v>43435</v>
      </c>
      <c r="C28" s="1">
        <v>20658</v>
      </c>
      <c r="D28">
        <f t="shared" si="0"/>
        <v>20844.39</v>
      </c>
    </row>
    <row r="29" spans="1:4" x14ac:dyDescent="0.3">
      <c r="A29">
        <v>28</v>
      </c>
      <c r="B29" s="2">
        <v>43525</v>
      </c>
      <c r="C29" s="1">
        <v>21914</v>
      </c>
      <c r="D29">
        <f t="shared" si="0"/>
        <v>21084.959999999999</v>
      </c>
    </row>
    <row r="30" spans="1:4" x14ac:dyDescent="0.3">
      <c r="A30">
        <v>29</v>
      </c>
      <c r="B30" s="2">
        <v>43617</v>
      </c>
      <c r="C30" s="1">
        <v>21550</v>
      </c>
      <c r="D30">
        <f t="shared" si="0"/>
        <v>21325.53</v>
      </c>
    </row>
    <row r="31" spans="1:4" x14ac:dyDescent="0.3">
      <c r="A31">
        <v>30</v>
      </c>
      <c r="B31" s="2">
        <v>43709</v>
      </c>
      <c r="C31" s="1">
        <v>20840</v>
      </c>
      <c r="D31">
        <f t="shared" si="0"/>
        <v>21566.1</v>
      </c>
    </row>
    <row r="32" spans="1:4" x14ac:dyDescent="0.3">
      <c r="A32">
        <v>31</v>
      </c>
      <c r="B32" s="2">
        <v>43800</v>
      </c>
      <c r="C32" s="1">
        <v>21739</v>
      </c>
      <c r="D32">
        <f t="shared" si="0"/>
        <v>21806.67</v>
      </c>
    </row>
    <row r="33" spans="1:4" x14ac:dyDescent="0.3">
      <c r="A33">
        <v>32</v>
      </c>
      <c r="B33" s="2">
        <v>43891</v>
      </c>
      <c r="C33" s="1">
        <v>21998</v>
      </c>
      <c r="D33">
        <f t="shared" si="0"/>
        <v>22047.239999999998</v>
      </c>
    </row>
    <row r="34" spans="1:4" x14ac:dyDescent="0.3">
      <c r="A34">
        <v>33</v>
      </c>
      <c r="B34" s="2">
        <v>43983</v>
      </c>
      <c r="C34" s="1">
        <v>21870</v>
      </c>
      <c r="D34">
        <f t="shared" si="0"/>
        <v>22287.809999999998</v>
      </c>
    </row>
    <row r="35" spans="1:4" x14ac:dyDescent="0.3">
      <c r="A35">
        <v>34</v>
      </c>
      <c r="B35" s="2">
        <v>44075</v>
      </c>
      <c r="C35" s="1">
        <v>23310</v>
      </c>
      <c r="D35">
        <f t="shared" si="0"/>
        <v>22528.38</v>
      </c>
    </row>
    <row r="36" spans="1:4" x14ac:dyDescent="0.3">
      <c r="A36">
        <v>35</v>
      </c>
      <c r="B36" s="2">
        <v>44166</v>
      </c>
      <c r="C36" s="1">
        <v>23953</v>
      </c>
      <c r="D36">
        <f t="shared" si="0"/>
        <v>22768.949999999997</v>
      </c>
    </row>
    <row r="37" spans="1:4" x14ac:dyDescent="0.3">
      <c r="A37">
        <v>36</v>
      </c>
      <c r="B37" s="2">
        <v>44256</v>
      </c>
      <c r="C37" s="1">
        <v>23787</v>
      </c>
      <c r="D37">
        <f t="shared" si="0"/>
        <v>23009.52</v>
      </c>
    </row>
    <row r="38" spans="1:4" x14ac:dyDescent="0.3">
      <c r="A38">
        <v>37</v>
      </c>
      <c r="B38" s="2">
        <v>44348</v>
      </c>
      <c r="C38" s="1">
        <v>24520</v>
      </c>
      <c r="D38">
        <f t="shared" si="0"/>
        <v>23250.09</v>
      </c>
    </row>
    <row r="39" spans="1:4" x14ac:dyDescent="0.3">
      <c r="A39">
        <v>38</v>
      </c>
      <c r="B39" s="2">
        <v>44440</v>
      </c>
      <c r="D39">
        <f t="shared" si="0"/>
        <v>23490.66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1069-AF22-4699-AD34-1547D2619934}">
  <dimension ref="A1:J40"/>
  <sheetViews>
    <sheetView zoomScale="68" workbookViewId="0">
      <selection activeCell="AC34" sqref="AC34"/>
    </sheetView>
  </sheetViews>
  <sheetFormatPr defaultRowHeight="14.4" x14ac:dyDescent="0.3"/>
  <cols>
    <col min="2" max="2" width="9.6640625" bestFit="1" customWidth="1"/>
    <col min="3" max="3" width="14.88671875" style="1" bestFit="1" customWidth="1"/>
    <col min="4" max="4" width="14.21875" bestFit="1" customWidth="1"/>
    <col min="7" max="7" width="13.33203125" bestFit="1" customWidth="1"/>
    <col min="8" max="8" width="13.33203125" customWidth="1"/>
  </cols>
  <sheetData>
    <row r="1" spans="1:10" ht="28.8" x14ac:dyDescent="0.3">
      <c r="A1" s="4" t="s">
        <v>2</v>
      </c>
      <c r="B1" s="4" t="s">
        <v>0</v>
      </c>
      <c r="C1" s="3" t="s">
        <v>3</v>
      </c>
      <c r="D1" t="s">
        <v>4</v>
      </c>
      <c r="E1" t="s">
        <v>5</v>
      </c>
      <c r="F1" s="8" t="s">
        <v>6</v>
      </c>
      <c r="G1" t="s">
        <v>11</v>
      </c>
      <c r="I1" s="8" t="s">
        <v>9</v>
      </c>
      <c r="J1" s="7">
        <v>0.95430121608216556</v>
      </c>
    </row>
    <row r="2" spans="1:10" x14ac:dyDescent="0.3">
      <c r="A2">
        <v>1</v>
      </c>
      <c r="B2" s="2">
        <v>41061</v>
      </c>
      <c r="C2" s="1">
        <v>15627</v>
      </c>
      <c r="D2" s="1">
        <f>C2</f>
        <v>15627</v>
      </c>
      <c r="E2" s="1">
        <f>C3-C2</f>
        <v>-700</v>
      </c>
      <c r="I2" s="8" t="s">
        <v>10</v>
      </c>
      <c r="J2" s="5">
        <v>0.18491464064816807</v>
      </c>
    </row>
    <row r="3" spans="1:10" x14ac:dyDescent="0.3">
      <c r="A3">
        <v>2</v>
      </c>
      <c r="B3" s="2">
        <v>41153</v>
      </c>
      <c r="C3" s="1">
        <v>14927</v>
      </c>
      <c r="D3">
        <f>($J$1*C3)+((1-$J$1)*(D2+E2))</f>
        <v>14927</v>
      </c>
      <c r="E3">
        <f>$J$2*(D3-D2)+((1-$J$2)*(E2))</f>
        <v>-700</v>
      </c>
      <c r="F3" s="1">
        <f>D2+E2</f>
        <v>14927</v>
      </c>
      <c r="G3" s="1">
        <f>(C3-F3)^2</f>
        <v>0</v>
      </c>
      <c r="H3" s="1"/>
    </row>
    <row r="4" spans="1:10" x14ac:dyDescent="0.3">
      <c r="A4">
        <v>3</v>
      </c>
      <c r="B4" s="2">
        <v>41244</v>
      </c>
      <c r="C4" s="1">
        <v>15407</v>
      </c>
      <c r="D4">
        <f t="shared" ref="D4:D38" si="0">($J$1*C4)+((1-$J$1)*(D3+E3))</f>
        <v>15353.075434976956</v>
      </c>
      <c r="E4">
        <f t="shared" ref="E4:E38" si="1">$J$2*(D4-D3)+((1-$J$2)*(E3))</f>
        <v>-491.7721655985066</v>
      </c>
      <c r="F4">
        <f>D3+E3</f>
        <v>14227</v>
      </c>
      <c r="G4" s="1">
        <f t="shared" ref="G4:G38" si="2">(C4-F4)^2</f>
        <v>1392400</v>
      </c>
      <c r="H4" s="1"/>
    </row>
    <row r="5" spans="1:10" x14ac:dyDescent="0.3">
      <c r="A5">
        <v>4</v>
      </c>
      <c r="B5" s="2">
        <v>41334</v>
      </c>
      <c r="C5" s="1">
        <v>15568</v>
      </c>
      <c r="D5">
        <f t="shared" si="0"/>
        <v>15535.704818811886</v>
      </c>
      <c r="E5">
        <f t="shared" si="1"/>
        <v>-367.06544543245485</v>
      </c>
      <c r="F5">
        <f t="shared" ref="F5:F39" si="3">D4+E4</f>
        <v>14861.30326937845</v>
      </c>
      <c r="G5" s="1">
        <f t="shared" si="2"/>
        <v>499420.26907118782</v>
      </c>
      <c r="H5" s="1"/>
      <c r="J5" s="6" t="s">
        <v>1</v>
      </c>
    </row>
    <row r="6" spans="1:10" x14ac:dyDescent="0.3">
      <c r="A6">
        <v>5</v>
      </c>
      <c r="B6" s="2">
        <v>41426</v>
      </c>
      <c r="C6" s="1">
        <v>15655</v>
      </c>
      <c r="D6">
        <f t="shared" si="0"/>
        <v>15632.773910817923</v>
      </c>
      <c r="E6">
        <f t="shared" si="1"/>
        <v>-281.24017422961242</v>
      </c>
      <c r="F6">
        <f t="shared" si="3"/>
        <v>15168.639373379432</v>
      </c>
      <c r="G6" s="1">
        <f t="shared" si="2"/>
        <v>236546.65912675147</v>
      </c>
      <c r="H6" s="1"/>
      <c r="J6" s="1">
        <f>AVERAGE(G3:G38)</f>
        <v>509360.34849135805</v>
      </c>
    </row>
    <row r="7" spans="1:10" x14ac:dyDescent="0.3">
      <c r="A7">
        <v>6</v>
      </c>
      <c r="B7" s="2">
        <v>41518</v>
      </c>
      <c r="C7" s="1">
        <v>16503</v>
      </c>
      <c r="D7">
        <f t="shared" si="0"/>
        <v>16450.379392039675</v>
      </c>
      <c r="E7">
        <f t="shared" si="1"/>
        <v>-78.047524724022708</v>
      </c>
      <c r="F7">
        <f t="shared" si="3"/>
        <v>15351.53373658831</v>
      </c>
      <c r="G7" s="1">
        <f t="shared" si="2"/>
        <v>1325874.5557752801</v>
      </c>
      <c r="H7" s="1"/>
    </row>
    <row r="8" spans="1:10" x14ac:dyDescent="0.3">
      <c r="A8">
        <v>7</v>
      </c>
      <c r="B8" s="2">
        <v>41609</v>
      </c>
      <c r="C8" s="1">
        <v>17041</v>
      </c>
      <c r="D8">
        <f t="shared" si="0"/>
        <v>17010.442679491716</v>
      </c>
      <c r="E8">
        <f t="shared" si="1"/>
        <v>39.94850680322488</v>
      </c>
      <c r="F8">
        <f t="shared" si="3"/>
        <v>16372.331867315652</v>
      </c>
      <c r="G8" s="1">
        <f t="shared" si="2"/>
        <v>447117.07166757307</v>
      </c>
      <c r="H8" s="1"/>
    </row>
    <row r="9" spans="1:10" x14ac:dyDescent="0.3">
      <c r="A9">
        <v>8</v>
      </c>
      <c r="B9" s="2">
        <v>41699</v>
      </c>
      <c r="C9" s="1">
        <v>16853</v>
      </c>
      <c r="D9">
        <f t="shared" si="0"/>
        <v>16862.020537169778</v>
      </c>
      <c r="E9">
        <f t="shared" si="1"/>
        <v>5.1160159115830908</v>
      </c>
      <c r="F9">
        <f t="shared" si="3"/>
        <v>17050.391186294943</v>
      </c>
      <c r="G9" s="1">
        <f t="shared" si="2"/>
        <v>38963.280426924735</v>
      </c>
      <c r="H9" s="1"/>
    </row>
    <row r="10" spans="1:10" x14ac:dyDescent="0.3">
      <c r="A10">
        <v>9</v>
      </c>
      <c r="B10" s="2">
        <v>41791</v>
      </c>
      <c r="C10" s="1">
        <v>17374</v>
      </c>
      <c r="D10">
        <f t="shared" si="0"/>
        <v>17350.836956863419</v>
      </c>
      <c r="E10">
        <f t="shared" si="1"/>
        <v>94.559302258316194</v>
      </c>
      <c r="F10">
        <f t="shared" si="3"/>
        <v>16867.13655308136</v>
      </c>
      <c r="G10" s="1">
        <f t="shared" si="2"/>
        <v>256910.55382224495</v>
      </c>
      <c r="H10" s="1"/>
    </row>
    <row r="11" spans="1:10" x14ac:dyDescent="0.3">
      <c r="A11">
        <v>10</v>
      </c>
      <c r="B11" s="2">
        <v>41883</v>
      </c>
      <c r="C11" s="1">
        <v>17386</v>
      </c>
      <c r="D11">
        <f t="shared" si="0"/>
        <v>17388.714336811132</v>
      </c>
      <c r="E11">
        <f t="shared" si="1"/>
        <v>84.07798496300363</v>
      </c>
      <c r="F11">
        <f t="shared" si="3"/>
        <v>17445.396259121735</v>
      </c>
      <c r="G11" s="1">
        <f t="shared" si="2"/>
        <v>3527.9155976562947</v>
      </c>
      <c r="H11" s="1"/>
    </row>
    <row r="12" spans="1:10" x14ac:dyDescent="0.3">
      <c r="A12">
        <v>11</v>
      </c>
      <c r="B12" s="2">
        <v>41974</v>
      </c>
      <c r="C12" s="1">
        <v>16220</v>
      </c>
      <c r="D12">
        <f t="shared" si="0"/>
        <v>16277.251085606678</v>
      </c>
      <c r="E12">
        <f t="shared" si="1"/>
        <v>-136.99509310296838</v>
      </c>
      <c r="F12">
        <f t="shared" si="3"/>
        <v>17472.792321774137</v>
      </c>
      <c r="G12" s="1">
        <f t="shared" si="2"/>
        <v>1569488.6014962334</v>
      </c>
      <c r="H12" s="1"/>
    </row>
    <row r="13" spans="1:10" x14ac:dyDescent="0.3">
      <c r="A13">
        <v>12</v>
      </c>
      <c r="B13" s="2">
        <v>42064</v>
      </c>
      <c r="C13" s="1">
        <v>16380</v>
      </c>
      <c r="D13">
        <f t="shared" si="0"/>
        <v>16369.043990405831</v>
      </c>
      <c r="E13">
        <f t="shared" si="1"/>
        <v>-94.688842686283806</v>
      </c>
      <c r="F13">
        <f t="shared" si="3"/>
        <v>16140.255992503709</v>
      </c>
      <c r="G13" s="1">
        <f t="shared" si="2"/>
        <v>57477.189130381434</v>
      </c>
      <c r="H13" s="1"/>
    </row>
    <row r="14" spans="1:10" x14ac:dyDescent="0.3">
      <c r="A14">
        <v>13</v>
      </c>
      <c r="B14" s="2">
        <v>42156</v>
      </c>
      <c r="C14" s="1">
        <v>16578</v>
      </c>
      <c r="D14">
        <f t="shared" si="0"/>
        <v>16564.123799507874</v>
      </c>
      <c r="E14">
        <f t="shared" si="1"/>
        <v>-41.106376569741315</v>
      </c>
      <c r="F14">
        <f t="shared" si="3"/>
        <v>16274.355147719547</v>
      </c>
      <c r="G14" s="1">
        <f t="shared" si="2"/>
        <v>92200.196316418151</v>
      </c>
      <c r="H14" s="1"/>
    </row>
    <row r="15" spans="1:10" x14ac:dyDescent="0.3">
      <c r="A15">
        <v>14</v>
      </c>
      <c r="B15" s="2">
        <v>42248</v>
      </c>
      <c r="C15" s="1">
        <v>16938</v>
      </c>
      <c r="D15">
        <f t="shared" si="0"/>
        <v>16919.035800881185</v>
      </c>
      <c r="E15">
        <f t="shared" si="1"/>
        <v>32.123219477668762</v>
      </c>
      <c r="F15">
        <f t="shared" si="3"/>
        <v>16523.017422938134</v>
      </c>
      <c r="G15" s="1">
        <f t="shared" si="2"/>
        <v>172210.53926490783</v>
      </c>
      <c r="H15" s="1"/>
    </row>
    <row r="16" spans="1:10" x14ac:dyDescent="0.3">
      <c r="A16">
        <v>15</v>
      </c>
      <c r="B16" s="2">
        <v>42339</v>
      </c>
      <c r="C16" s="1">
        <v>18047</v>
      </c>
      <c r="D16">
        <f t="shared" si="0"/>
        <v>17996.921399863069</v>
      </c>
      <c r="E16">
        <f t="shared" si="1"/>
        <v>225.49999408706387</v>
      </c>
      <c r="F16">
        <f t="shared" si="3"/>
        <v>16951.159020358853</v>
      </c>
      <c r="G16" s="1">
        <f t="shared" si="2"/>
        <v>1200867.4526608686</v>
      </c>
      <c r="H16" s="1"/>
    </row>
    <row r="17" spans="1:8" x14ac:dyDescent="0.3">
      <c r="A17">
        <v>16</v>
      </c>
      <c r="B17" s="2">
        <v>42430</v>
      </c>
      <c r="C17" s="1">
        <v>17569</v>
      </c>
      <c r="D17">
        <f t="shared" si="0"/>
        <v>17598.860563089416</v>
      </c>
      <c r="E17">
        <f t="shared" si="1"/>
        <v>110.19446712618125</v>
      </c>
      <c r="F17">
        <f t="shared" si="3"/>
        <v>18222.421393950131</v>
      </c>
      <c r="G17" s="1">
        <f t="shared" si="2"/>
        <v>426959.51807173289</v>
      </c>
      <c r="H17" s="1"/>
    </row>
    <row r="18" spans="1:8" x14ac:dyDescent="0.3">
      <c r="A18">
        <v>17</v>
      </c>
      <c r="B18" s="2">
        <v>42522</v>
      </c>
      <c r="C18" s="1">
        <v>18533</v>
      </c>
      <c r="D18">
        <f t="shared" si="0"/>
        <v>18495.346716865635</v>
      </c>
      <c r="E18">
        <f t="shared" si="1"/>
        <v>255.59131180771493</v>
      </c>
      <c r="F18">
        <f t="shared" si="3"/>
        <v>17709.055030215597</v>
      </c>
      <c r="G18" s="1">
        <f t="shared" si="2"/>
        <v>678885.3132330206</v>
      </c>
      <c r="H18" s="1"/>
    </row>
    <row r="19" spans="1:8" x14ac:dyDescent="0.3">
      <c r="A19">
        <v>18</v>
      </c>
      <c r="B19" s="2">
        <v>42614</v>
      </c>
      <c r="C19" s="1">
        <v>17877</v>
      </c>
      <c r="D19">
        <f t="shared" si="0"/>
        <v>17916.937905129922</v>
      </c>
      <c r="E19">
        <f t="shared" si="1"/>
        <v>101.37247866215414</v>
      </c>
      <c r="F19">
        <f t="shared" si="3"/>
        <v>18750.93802867335</v>
      </c>
      <c r="G19" s="1">
        <f t="shared" si="2"/>
        <v>763767.67796146171</v>
      </c>
      <c r="H19" s="1"/>
    </row>
    <row r="20" spans="1:8" x14ac:dyDescent="0.3">
      <c r="A20">
        <v>19</v>
      </c>
      <c r="B20" s="2">
        <v>42705</v>
      </c>
      <c r="C20" s="1">
        <v>17404</v>
      </c>
      <c r="D20">
        <f t="shared" si="0"/>
        <v>17432.073237487395</v>
      </c>
      <c r="E20">
        <f t="shared" si="1"/>
        <v>-7.0313525813834872</v>
      </c>
      <c r="F20">
        <f t="shared" si="3"/>
        <v>18018.310383792075</v>
      </c>
      <c r="G20" s="1">
        <f t="shared" si="2"/>
        <v>377377.24763476686</v>
      </c>
      <c r="H20" s="1"/>
    </row>
    <row r="21" spans="1:8" x14ac:dyDescent="0.3">
      <c r="A21">
        <v>20</v>
      </c>
      <c r="B21" s="2">
        <v>42795</v>
      </c>
      <c r="C21" s="1">
        <v>17697</v>
      </c>
      <c r="D21">
        <f t="shared" si="0"/>
        <v>17684.571844863622</v>
      </c>
      <c r="E21">
        <f t="shared" si="1"/>
        <v>40.959536701611427</v>
      </c>
      <c r="F21">
        <f t="shared" si="3"/>
        <v>17425.041884906012</v>
      </c>
      <c r="G21" s="1">
        <f t="shared" si="2"/>
        <v>73961.216365475077</v>
      </c>
      <c r="H21" s="1"/>
    </row>
    <row r="22" spans="1:8" x14ac:dyDescent="0.3">
      <c r="A22">
        <v>21</v>
      </c>
      <c r="B22" s="2">
        <v>42887</v>
      </c>
      <c r="C22" s="1">
        <v>19301</v>
      </c>
      <c r="D22">
        <f t="shared" si="0"/>
        <v>19229.003000036821</v>
      </c>
      <c r="E22">
        <f t="shared" si="1"/>
        <v>318.97345075600464</v>
      </c>
      <c r="F22">
        <f t="shared" si="3"/>
        <v>17725.531381565233</v>
      </c>
      <c r="G22" s="1">
        <f t="shared" si="2"/>
        <v>2482101.3676727521</v>
      </c>
      <c r="H22" s="1"/>
    </row>
    <row r="23" spans="1:8" x14ac:dyDescent="0.3">
      <c r="A23">
        <v>22</v>
      </c>
      <c r="B23" s="2">
        <v>42979</v>
      </c>
      <c r="C23" s="1">
        <v>19440</v>
      </c>
      <c r="D23">
        <f t="shared" si="0"/>
        <v>19444.934392492996</v>
      </c>
      <c r="E23">
        <f t="shared" si="1"/>
        <v>299.91946557384421</v>
      </c>
      <c r="F23">
        <f t="shared" si="3"/>
        <v>19547.976450792827</v>
      </c>
      <c r="G23" s="1">
        <f t="shared" si="2"/>
        <v>11658.913925815716</v>
      </c>
      <c r="H23" s="1"/>
    </row>
    <row r="24" spans="1:8" x14ac:dyDescent="0.3">
      <c r="A24">
        <v>23</v>
      </c>
      <c r="B24" s="2">
        <v>43070</v>
      </c>
      <c r="C24" s="1">
        <v>19490</v>
      </c>
      <c r="D24">
        <f t="shared" si="0"/>
        <v>19501.646511390423</v>
      </c>
      <c r="E24">
        <f t="shared" si="1"/>
        <v>254.9468664601801</v>
      </c>
      <c r="F24">
        <f t="shared" si="3"/>
        <v>19744.853858066839</v>
      </c>
      <c r="G24" s="1">
        <f t="shared" si="2"/>
        <v>64950.488971552601</v>
      </c>
      <c r="H24" s="1"/>
    </row>
    <row r="25" spans="1:8" x14ac:dyDescent="0.3">
      <c r="A25">
        <v>24</v>
      </c>
      <c r="B25" s="2">
        <v>43160</v>
      </c>
      <c r="C25" s="1">
        <v>19822</v>
      </c>
      <c r="D25">
        <f t="shared" si="0"/>
        <v>19819.0109969076</v>
      </c>
      <c r="E25">
        <f t="shared" si="1"/>
        <v>266.48879805821889</v>
      </c>
      <c r="F25">
        <f t="shared" si="3"/>
        <v>19756.593377850604</v>
      </c>
      <c r="G25" s="1">
        <f t="shared" si="2"/>
        <v>4278.0262209938392</v>
      </c>
      <c r="H25" s="1"/>
    </row>
    <row r="26" spans="1:8" x14ac:dyDescent="0.3">
      <c r="A26">
        <v>25</v>
      </c>
      <c r="B26" s="2">
        <v>43252</v>
      </c>
      <c r="C26" s="1">
        <v>20291</v>
      </c>
      <c r="D26">
        <f t="shared" si="0"/>
        <v>20281.608890535073</v>
      </c>
      <c r="E26">
        <f t="shared" si="1"/>
        <v>302.75224099324481</v>
      </c>
      <c r="F26">
        <f t="shared" si="3"/>
        <v>20085.499794965821</v>
      </c>
      <c r="G26" s="1">
        <f t="shared" si="2"/>
        <v>42230.334269089646</v>
      </c>
      <c r="H26" s="1"/>
    </row>
    <row r="27" spans="1:8" x14ac:dyDescent="0.3">
      <c r="A27">
        <v>26</v>
      </c>
      <c r="B27" s="2">
        <v>43344</v>
      </c>
      <c r="C27" s="1">
        <v>19956</v>
      </c>
      <c r="D27">
        <f t="shared" si="0"/>
        <v>19984.715339572082</v>
      </c>
      <c r="E27">
        <f t="shared" si="1"/>
        <v>191.86895485747115</v>
      </c>
      <c r="F27">
        <f t="shared" si="3"/>
        <v>20584.36113152832</v>
      </c>
      <c r="G27" s="1">
        <f t="shared" si="2"/>
        <v>394837.71161555027</v>
      </c>
      <c r="H27" s="1"/>
    </row>
    <row r="28" spans="1:8" x14ac:dyDescent="0.3">
      <c r="A28">
        <v>27</v>
      </c>
      <c r="B28" s="2">
        <v>43435</v>
      </c>
      <c r="C28" s="1">
        <v>20658</v>
      </c>
      <c r="D28">
        <f t="shared" si="0"/>
        <v>20635.999887696486</v>
      </c>
      <c r="E28">
        <f t="shared" si="1"/>
        <v>276.82162419459098</v>
      </c>
      <c r="F28">
        <f t="shared" si="3"/>
        <v>20176.584294429551</v>
      </c>
      <c r="G28" s="1">
        <f t="shared" si="2"/>
        <v>231761.08156989331</v>
      </c>
      <c r="H28" s="1"/>
    </row>
    <row r="29" spans="1:8" x14ac:dyDescent="0.3">
      <c r="A29">
        <v>28</v>
      </c>
      <c r="B29" s="2">
        <v>43525</v>
      </c>
      <c r="C29" s="1">
        <v>21914</v>
      </c>
      <c r="D29">
        <f t="shared" si="0"/>
        <v>21868.247360608726</v>
      </c>
      <c r="E29">
        <f t="shared" si="1"/>
        <v>453.49385167618613</v>
      </c>
      <c r="F29">
        <f t="shared" si="3"/>
        <v>20912.821511891078</v>
      </c>
      <c r="G29" s="1">
        <f t="shared" si="2"/>
        <v>1002358.3650520678</v>
      </c>
      <c r="H29" s="1"/>
    </row>
    <row r="30" spans="1:8" x14ac:dyDescent="0.3">
      <c r="A30">
        <v>29</v>
      </c>
      <c r="B30" s="2">
        <v>43617</v>
      </c>
      <c r="C30" s="1">
        <v>21550</v>
      </c>
      <c r="D30">
        <f t="shared" si="0"/>
        <v>21585.267634900694</v>
      </c>
      <c r="E30">
        <f t="shared" si="1"/>
        <v>317.3091047673127</v>
      </c>
      <c r="F30">
        <f t="shared" si="3"/>
        <v>22321.741212284913</v>
      </c>
      <c r="G30" s="1">
        <f t="shared" si="2"/>
        <v>595584.49873898679</v>
      </c>
      <c r="H30" s="1"/>
    </row>
    <row r="31" spans="1:8" x14ac:dyDescent="0.3">
      <c r="A31">
        <v>30</v>
      </c>
      <c r="B31" s="2">
        <v>43709</v>
      </c>
      <c r="C31" s="1">
        <v>20840</v>
      </c>
      <c r="D31">
        <f t="shared" si="0"/>
        <v>20888.558464822207</v>
      </c>
      <c r="E31">
        <f t="shared" si="1"/>
        <v>129.80227986352619</v>
      </c>
      <c r="F31">
        <f t="shared" si="3"/>
        <v>21902.576739668006</v>
      </c>
      <c r="G31" s="1">
        <f t="shared" si="2"/>
        <v>1129069.3276834888</v>
      </c>
      <c r="H31" s="1"/>
    </row>
    <row r="32" spans="1:8" x14ac:dyDescent="0.3">
      <c r="A32">
        <v>31</v>
      </c>
      <c r="B32" s="2">
        <v>43800</v>
      </c>
      <c r="C32" s="1">
        <v>21739</v>
      </c>
      <c r="D32">
        <f t="shared" si="0"/>
        <v>21706.067662388683</v>
      </c>
      <c r="E32">
        <f t="shared" si="1"/>
        <v>256.96935742182649</v>
      </c>
      <c r="F32">
        <f t="shared" si="3"/>
        <v>21018.360744685731</v>
      </c>
      <c r="G32" s="1">
        <f t="shared" si="2"/>
        <v>519320.93629990373</v>
      </c>
      <c r="H32" s="1"/>
    </row>
    <row r="33" spans="1:8" x14ac:dyDescent="0.3">
      <c r="A33">
        <v>32</v>
      </c>
      <c r="B33" s="2">
        <v>43891</v>
      </c>
      <c r="C33" s="1">
        <v>21998</v>
      </c>
      <c r="D33">
        <f t="shared" si="0"/>
        <v>21996.402234323195</v>
      </c>
      <c r="E33">
        <f t="shared" si="1"/>
        <v>263.13907407358886</v>
      </c>
      <c r="F33">
        <f t="shared" si="3"/>
        <v>21963.037019810508</v>
      </c>
      <c r="G33" s="1">
        <f t="shared" si="2"/>
        <v>1222.4099837307851</v>
      </c>
      <c r="H33" s="1"/>
    </row>
    <row r="34" spans="1:8" x14ac:dyDescent="0.3">
      <c r="A34">
        <v>33</v>
      </c>
      <c r="B34" s="2">
        <v>43983</v>
      </c>
      <c r="C34" s="1">
        <v>21870</v>
      </c>
      <c r="D34">
        <f t="shared" si="0"/>
        <v>21887.801564079498</v>
      </c>
      <c r="E34">
        <f t="shared" si="1"/>
        <v>194.39895283851604</v>
      </c>
      <c r="F34">
        <f t="shared" si="3"/>
        <v>22259.541308396783</v>
      </c>
      <c r="G34" s="1">
        <f t="shared" si="2"/>
        <v>151742.43094747781</v>
      </c>
      <c r="H34" s="1"/>
    </row>
    <row r="35" spans="1:8" x14ac:dyDescent="0.3">
      <c r="A35">
        <v>34</v>
      </c>
      <c r="B35" s="2">
        <v>44075</v>
      </c>
      <c r="C35" s="1">
        <v>23310</v>
      </c>
      <c r="D35">
        <f t="shared" si="0"/>
        <v>23253.891056728207</v>
      </c>
      <c r="E35">
        <f t="shared" si="1"/>
        <v>411.06168795837596</v>
      </c>
      <c r="F35">
        <f t="shared" si="3"/>
        <v>22082.200516918016</v>
      </c>
      <c r="G35" s="1">
        <f t="shared" si="2"/>
        <v>1507491.5706563881</v>
      </c>
      <c r="H35" s="1"/>
    </row>
    <row r="36" spans="1:8" x14ac:dyDescent="0.3">
      <c r="A36">
        <v>35</v>
      </c>
      <c r="B36" s="2">
        <v>44166</v>
      </c>
      <c r="C36" s="1">
        <v>23953</v>
      </c>
      <c r="D36">
        <f t="shared" si="0"/>
        <v>23939.836590721305</v>
      </c>
      <c r="E36">
        <f t="shared" si="1"/>
        <v>461.89173556787279</v>
      </c>
      <c r="F36">
        <f t="shared" si="3"/>
        <v>23664.952744686583</v>
      </c>
      <c r="G36" s="1">
        <f t="shared" si="2"/>
        <v>82971.221293592738</v>
      </c>
      <c r="H36" s="1"/>
    </row>
    <row r="37" spans="1:8" x14ac:dyDescent="0.3">
      <c r="A37">
        <v>36</v>
      </c>
      <c r="B37" s="2">
        <v>44256</v>
      </c>
      <c r="C37" s="1">
        <v>23787</v>
      </c>
      <c r="D37">
        <f t="shared" si="0"/>
        <v>23815.09233695126</v>
      </c>
      <c r="E37">
        <f t="shared" si="1"/>
        <v>353.41415240816923</v>
      </c>
      <c r="F37">
        <f t="shared" si="3"/>
        <v>24401.728326289176</v>
      </c>
      <c r="G37" s="1">
        <f t="shared" si="2"/>
        <v>377890.91514229169</v>
      </c>
      <c r="H37" s="1"/>
    </row>
    <row r="38" spans="1:8" x14ac:dyDescent="0.3">
      <c r="A38">
        <v>37</v>
      </c>
      <c r="B38" s="2">
        <v>44348</v>
      </c>
      <c r="C38" s="1">
        <v>24520</v>
      </c>
      <c r="D38">
        <f t="shared" si="0"/>
        <v>24503.937174008715</v>
      </c>
      <c r="E38">
        <f t="shared" si="1"/>
        <v>415.44019692246093</v>
      </c>
      <c r="F38">
        <f t="shared" si="3"/>
        <v>24168.506489359428</v>
      </c>
      <c r="G38" s="1">
        <f t="shared" si="2"/>
        <v>123547.68802243384</v>
      </c>
      <c r="H38" s="1"/>
    </row>
    <row r="39" spans="1:8" x14ac:dyDescent="0.3">
      <c r="A39">
        <v>38</v>
      </c>
      <c r="B39" s="2">
        <v>44440</v>
      </c>
      <c r="F39">
        <f t="shared" si="3"/>
        <v>24919.377370931175</v>
      </c>
      <c r="G39" s="1"/>
      <c r="H39" s="1"/>
    </row>
    <row r="40" spans="1:8" x14ac:dyDescent="0.3">
      <c r="A40">
        <v>39</v>
      </c>
      <c r="B40" s="2">
        <v>44531</v>
      </c>
      <c r="F40">
        <f>D38+(E38*2)</f>
        <v>25334.817567853635</v>
      </c>
      <c r="G40" s="1"/>
      <c r="H40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E0F433-D1CC-45A2-AA8E-5C542DBCC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B9EC87-B497-4C58-9F12-E52DC92431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943F3-1DDA-4626-BF11-A138D2B5E7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Holt’s Exponential Smoothing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محمد احمد صلاح سعيد شرع</cp:lastModifiedBy>
  <dcterms:created xsi:type="dcterms:W3CDTF">2021-01-13T05:39:12Z</dcterms:created>
  <dcterms:modified xsi:type="dcterms:W3CDTF">2026-05-19T01:51:01Z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